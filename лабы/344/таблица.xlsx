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ha\Desktop\мфти\3сем\лабы\344\"/>
    </mc:Choice>
  </mc:AlternateContent>
  <xr:revisionPtr revIDLastSave="0" documentId="13_ncr:1_{F1449D36-E48C-48F0-9668-D46AB4F8FC88}" xr6:coauthVersionLast="47" xr6:coauthVersionMax="47" xr10:uidLastSave="{00000000-0000-0000-0000-000000000000}"/>
  <bookViews>
    <workbookView xWindow="7776" yWindow="2016" windowWidth="10620" windowHeight="9684" xr2:uid="{EC578AD2-EA3D-4C99-A1CD-161D2584B6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46" i="1"/>
  <c r="E47" i="1"/>
  <c r="E48" i="1"/>
  <c r="E49" i="1"/>
  <c r="E50" i="1"/>
  <c r="E51" i="1"/>
  <c r="E52" i="1"/>
  <c r="E53" i="1"/>
  <c r="E54" i="1"/>
  <c r="E55" i="1"/>
  <c r="E45" i="1"/>
  <c r="K29" i="1"/>
  <c r="K30" i="1"/>
  <c r="K31" i="1"/>
  <c r="K32" i="1"/>
  <c r="K33" i="1"/>
  <c r="K34" i="1"/>
  <c r="K35" i="1"/>
  <c r="K36" i="1"/>
  <c r="K37" i="1"/>
  <c r="K38" i="1"/>
  <c r="K28" i="1"/>
  <c r="E29" i="1"/>
  <c r="E30" i="1"/>
  <c r="E31" i="1"/>
  <c r="E32" i="1"/>
  <c r="E33" i="1"/>
  <c r="E34" i="1"/>
  <c r="E35" i="1"/>
  <c r="E36" i="1"/>
  <c r="E37" i="1"/>
  <c r="E38" i="1"/>
  <c r="E28" i="1"/>
  <c r="K13" i="1"/>
  <c r="K14" i="1"/>
  <c r="K15" i="1"/>
  <c r="K16" i="1"/>
  <c r="K17" i="1"/>
  <c r="K18" i="1"/>
  <c r="K19" i="1"/>
  <c r="K20" i="1"/>
  <c r="K21" i="1"/>
  <c r="K22" i="1"/>
  <c r="K12" i="1"/>
  <c r="E13" i="1"/>
  <c r="E14" i="1"/>
  <c r="E15" i="1"/>
  <c r="E16" i="1"/>
  <c r="E17" i="1"/>
  <c r="E18" i="1"/>
  <c r="E19" i="1"/>
  <c r="E20" i="1"/>
  <c r="E21" i="1"/>
  <c r="E12" i="1"/>
</calcChain>
</file>

<file path=xl/sharedStrings.xml><?xml version="1.0" encoding="utf-8"?>
<sst xmlns="http://schemas.openxmlformats.org/spreadsheetml/2006/main" count="67" uniqueCount="42">
  <si>
    <t>Лабораторная работа 3.4.4</t>
  </si>
  <si>
    <t>Тароид</t>
  </si>
  <si>
    <t>N(T0)</t>
  </si>
  <si>
    <t>N(T1)</t>
  </si>
  <si>
    <t>R_m</t>
  </si>
  <si>
    <t>Ом</t>
  </si>
  <si>
    <t>ОМ</t>
  </si>
  <si>
    <t>R_c</t>
  </si>
  <si>
    <t>1-ый проход</t>
  </si>
  <si>
    <t xml:space="preserve">Переклчатель НА </t>
  </si>
  <si>
    <t>x1</t>
  </si>
  <si>
    <t>x2</t>
  </si>
  <si>
    <t>delta x</t>
  </si>
  <si>
    <t>мА</t>
  </si>
  <si>
    <t>2-ой проход</t>
  </si>
  <si>
    <t>П1 разомкнули</t>
  </si>
  <si>
    <t>П1 сомкнули, П2 разомкнули</t>
  </si>
  <si>
    <t>3-ий проход</t>
  </si>
  <si>
    <t>4-ый проход</t>
  </si>
  <si>
    <t>Исходная схема</t>
  </si>
  <si>
    <t>Переключатель</t>
  </si>
  <si>
    <t>(H=0 - начальная точка)</t>
  </si>
  <si>
    <t>(от самой нижней точки до 0)</t>
  </si>
  <si>
    <t>(от H=0 до самой верхней точки)</t>
  </si>
  <si>
    <t>Намагничивание</t>
  </si>
  <si>
    <t>Пересообрали схему</t>
  </si>
  <si>
    <t>R_м</t>
  </si>
  <si>
    <t>R_с</t>
  </si>
  <si>
    <t>delta x_c</t>
  </si>
  <si>
    <t>см</t>
  </si>
  <si>
    <t>калибровка Гальвонометра</t>
  </si>
  <si>
    <t>(соленоинд)</t>
  </si>
  <si>
    <t>(магазин сопротивлений)</t>
  </si>
  <si>
    <t>I max</t>
  </si>
  <si>
    <t>R_0</t>
  </si>
  <si>
    <t>(наверно гальванометр)</t>
  </si>
  <si>
    <t>К0</t>
  </si>
  <si>
    <t>Nc1</t>
  </si>
  <si>
    <t>В</t>
  </si>
  <si>
    <t>l_c</t>
  </si>
  <si>
    <t>d_c</t>
  </si>
  <si>
    <t>delta x(см)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</si>
</sst>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D840-A382-4194-8E00-BEC66495F80B}">
  <dimension ref="A1:N55"/>
  <sheetViews>
    <sheetView tabSelected="1" topLeftCell="A2" zoomScale="86" workbookViewId="0">
      <selection activeCell="E26" sqref="E26"/>
    </sheetView>
  </sheetViews>
  <sheetFormatPr defaultRowHeight="14.4" x14ac:dyDescent="0.3"/>
  <cols>
    <col min="1" max="1" width="15.109375" customWidth="1"/>
    <col min="6" max="6" width="7.21875" customWidth="1"/>
    <col min="7" max="7" width="10.77734375" customWidth="1"/>
  </cols>
  <sheetData>
    <row r="1" spans="1:11" x14ac:dyDescent="0.3">
      <c r="E1" s="3" t="s">
        <v>0</v>
      </c>
      <c r="F1" s="3"/>
      <c r="G1" s="3"/>
      <c r="H1" s="3"/>
      <c r="I1" s="3"/>
      <c r="J1" s="3"/>
    </row>
    <row r="2" spans="1:11" ht="15" thickBot="1" x14ac:dyDescent="0.35">
      <c r="E2" s="4"/>
      <c r="F2" s="4"/>
      <c r="G2" s="4"/>
      <c r="H2" s="4"/>
      <c r="I2" s="4"/>
      <c r="J2" s="4"/>
    </row>
    <row r="3" spans="1:11" x14ac:dyDescent="0.3">
      <c r="A3" t="s">
        <v>1</v>
      </c>
      <c r="B3" t="s">
        <v>2</v>
      </c>
      <c r="C3">
        <v>1750</v>
      </c>
      <c r="E3" t="s">
        <v>37</v>
      </c>
      <c r="F3">
        <v>500</v>
      </c>
      <c r="G3" t="s">
        <v>38</v>
      </c>
      <c r="I3" t="s">
        <v>40</v>
      </c>
      <c r="J3">
        <v>7</v>
      </c>
      <c r="K3" t="s">
        <v>29</v>
      </c>
    </row>
    <row r="4" spans="1:11" x14ac:dyDescent="0.3">
      <c r="B4" t="s">
        <v>3</v>
      </c>
      <c r="C4">
        <v>300</v>
      </c>
      <c r="E4" t="s">
        <v>39</v>
      </c>
      <c r="F4">
        <v>80</v>
      </c>
      <c r="G4" t="s">
        <v>29</v>
      </c>
    </row>
    <row r="5" spans="1:11" x14ac:dyDescent="0.3">
      <c r="A5" t="s">
        <v>34</v>
      </c>
      <c r="B5">
        <v>5.6</v>
      </c>
      <c r="C5" t="s">
        <v>5</v>
      </c>
      <c r="D5" t="s">
        <v>35</v>
      </c>
      <c r="G5" t="s">
        <v>36</v>
      </c>
    </row>
    <row r="6" spans="1:11" x14ac:dyDescent="0.3">
      <c r="A6" t="s">
        <v>4</v>
      </c>
      <c r="B6">
        <v>10</v>
      </c>
      <c r="C6" t="s">
        <v>5</v>
      </c>
      <c r="D6" t="s">
        <v>32</v>
      </c>
    </row>
    <row r="7" spans="1:11" x14ac:dyDescent="0.3">
      <c r="A7" t="s">
        <v>7</v>
      </c>
      <c r="B7">
        <v>46</v>
      </c>
      <c r="C7" t="s">
        <v>6</v>
      </c>
      <c r="D7" t="s">
        <v>31</v>
      </c>
    </row>
    <row r="8" spans="1:11" x14ac:dyDescent="0.3">
      <c r="A8" s="1" t="s">
        <v>19</v>
      </c>
      <c r="B8" s="1"/>
      <c r="C8" s="1"/>
      <c r="G8" s="1" t="s">
        <v>15</v>
      </c>
      <c r="H8" s="1"/>
      <c r="I8" s="1"/>
    </row>
    <row r="9" spans="1:11" x14ac:dyDescent="0.3">
      <c r="A9" s="1" t="s">
        <v>8</v>
      </c>
      <c r="B9" s="1"/>
      <c r="G9" s="1" t="s">
        <v>14</v>
      </c>
      <c r="H9" s="1"/>
      <c r="J9" t="s">
        <v>21</v>
      </c>
    </row>
    <row r="10" spans="1:11" x14ac:dyDescent="0.3">
      <c r="A10" t="s">
        <v>9</v>
      </c>
      <c r="B10" t="s">
        <v>13</v>
      </c>
      <c r="C10" t="s">
        <v>10</v>
      </c>
      <c r="D10" t="s">
        <v>11</v>
      </c>
      <c r="E10" t="s">
        <v>41</v>
      </c>
      <c r="G10" t="s">
        <v>20</v>
      </c>
      <c r="H10" t="s">
        <v>13</v>
      </c>
      <c r="I10" t="s">
        <v>10</v>
      </c>
      <c r="J10" t="s">
        <v>11</v>
      </c>
      <c r="K10" t="s">
        <v>41</v>
      </c>
    </row>
    <row r="11" spans="1:11" x14ac:dyDescent="0.3">
      <c r="A11">
        <v>11</v>
      </c>
      <c r="B11" s="12">
        <v>1725</v>
      </c>
      <c r="C11" s="2"/>
      <c r="D11" s="2"/>
      <c r="E11" s="2"/>
      <c r="G11">
        <v>0</v>
      </c>
      <c r="H11" s="12">
        <v>1.28</v>
      </c>
      <c r="I11" s="2"/>
      <c r="J11" s="2"/>
      <c r="K11" s="2"/>
    </row>
    <row r="12" spans="1:11" x14ac:dyDescent="0.3">
      <c r="A12">
        <v>10</v>
      </c>
      <c r="B12" s="12">
        <v>939.7</v>
      </c>
      <c r="C12">
        <v>-2.4</v>
      </c>
      <c r="D12">
        <v>11.9</v>
      </c>
      <c r="E12">
        <f>D12-C12</f>
        <v>14.3</v>
      </c>
      <c r="G12">
        <v>1</v>
      </c>
      <c r="H12" s="12">
        <v>109.73</v>
      </c>
      <c r="I12">
        <v>-2.4</v>
      </c>
      <c r="J12">
        <v>3.8</v>
      </c>
      <c r="K12">
        <f>J12-I12</f>
        <v>6.1999999999999993</v>
      </c>
    </row>
    <row r="13" spans="1:11" x14ac:dyDescent="0.3">
      <c r="A13">
        <v>9</v>
      </c>
      <c r="B13" s="12">
        <v>584.1</v>
      </c>
      <c r="C13">
        <v>-2.4</v>
      </c>
      <c r="D13">
        <v>8.4</v>
      </c>
      <c r="E13">
        <f t="shared" ref="E13:E22" si="0">D13-C13</f>
        <v>10.8</v>
      </c>
      <c r="G13">
        <v>2</v>
      </c>
      <c r="H13" s="12">
        <v>185.94</v>
      </c>
      <c r="I13">
        <v>-2.4</v>
      </c>
      <c r="J13">
        <v>9.1</v>
      </c>
      <c r="K13">
        <f t="shared" ref="K13:K22" si="1">J13-I13</f>
        <v>11.5</v>
      </c>
    </row>
    <row r="14" spans="1:11" x14ac:dyDescent="0.3">
      <c r="A14">
        <v>8</v>
      </c>
      <c r="B14" s="12">
        <v>487.1</v>
      </c>
      <c r="C14">
        <v>-2.5</v>
      </c>
      <c r="D14">
        <v>1</v>
      </c>
      <c r="E14">
        <f t="shared" si="0"/>
        <v>3.5</v>
      </c>
      <c r="G14">
        <v>3</v>
      </c>
      <c r="H14" s="12">
        <v>244.99</v>
      </c>
      <c r="I14">
        <v>-2.5</v>
      </c>
      <c r="J14">
        <v>14.1</v>
      </c>
      <c r="K14">
        <f t="shared" si="1"/>
        <v>16.600000000000001</v>
      </c>
    </row>
    <row r="15" spans="1:11" x14ac:dyDescent="0.3">
      <c r="A15">
        <v>7</v>
      </c>
      <c r="B15" s="12">
        <v>397.54</v>
      </c>
      <c r="C15">
        <v>-2.4</v>
      </c>
      <c r="D15">
        <v>0.7</v>
      </c>
      <c r="E15">
        <f t="shared" si="0"/>
        <v>3.0999999999999996</v>
      </c>
      <c r="G15">
        <v>4</v>
      </c>
      <c r="H15" s="12">
        <v>282.62</v>
      </c>
      <c r="I15">
        <v>-2.5</v>
      </c>
      <c r="J15">
        <v>12.2</v>
      </c>
      <c r="K15">
        <f t="shared" si="1"/>
        <v>14.7</v>
      </c>
    </row>
    <row r="16" spans="1:11" x14ac:dyDescent="0.3">
      <c r="A16">
        <v>6</v>
      </c>
      <c r="B16" s="12">
        <v>354.68</v>
      </c>
      <c r="C16">
        <v>-2.4</v>
      </c>
      <c r="D16">
        <v>-0.8</v>
      </c>
      <c r="E16">
        <f t="shared" si="0"/>
        <v>1.5999999999999999</v>
      </c>
      <c r="G16">
        <v>5</v>
      </c>
      <c r="H16" s="12">
        <v>323.64</v>
      </c>
      <c r="I16">
        <v>-2.4</v>
      </c>
      <c r="J16">
        <v>14.5</v>
      </c>
      <c r="K16">
        <f t="shared" si="1"/>
        <v>16.899999999999999</v>
      </c>
    </row>
    <row r="17" spans="1:14" x14ac:dyDescent="0.3">
      <c r="A17">
        <v>5</v>
      </c>
      <c r="B17" s="12">
        <v>323.95</v>
      </c>
      <c r="C17">
        <v>-2.5</v>
      </c>
      <c r="D17">
        <v>-1.4</v>
      </c>
      <c r="E17">
        <f t="shared" si="0"/>
        <v>1.1000000000000001</v>
      </c>
      <c r="G17">
        <v>6</v>
      </c>
      <c r="H17" s="12">
        <v>354.27</v>
      </c>
      <c r="I17">
        <v>-2.4</v>
      </c>
      <c r="J17">
        <v>7.9</v>
      </c>
      <c r="K17">
        <f t="shared" si="1"/>
        <v>10.3</v>
      </c>
      <c r="N17" s="5"/>
    </row>
    <row r="18" spans="1:14" x14ac:dyDescent="0.3">
      <c r="A18">
        <v>4</v>
      </c>
      <c r="B18" s="12">
        <v>283.45999999999998</v>
      </c>
      <c r="C18">
        <v>-2.4</v>
      </c>
      <c r="D18">
        <v>-1</v>
      </c>
      <c r="E18">
        <f t="shared" si="0"/>
        <v>1.4</v>
      </c>
      <c r="G18">
        <v>7</v>
      </c>
      <c r="H18" s="12">
        <v>397.08</v>
      </c>
      <c r="I18">
        <v>-2.4</v>
      </c>
      <c r="J18">
        <v>9.6</v>
      </c>
      <c r="K18">
        <f t="shared" si="1"/>
        <v>12</v>
      </c>
    </row>
    <row r="19" spans="1:14" x14ac:dyDescent="0.3">
      <c r="A19">
        <v>3</v>
      </c>
      <c r="B19" s="12">
        <v>245.1</v>
      </c>
      <c r="C19">
        <v>-2.4</v>
      </c>
      <c r="D19">
        <v>-1.2</v>
      </c>
      <c r="E19">
        <f t="shared" si="0"/>
        <v>1.2</v>
      </c>
      <c r="G19">
        <v>8</v>
      </c>
      <c r="H19" s="12">
        <v>485.03</v>
      </c>
      <c r="I19">
        <v>-2.4</v>
      </c>
      <c r="J19">
        <v>13.8</v>
      </c>
      <c r="K19">
        <f t="shared" si="1"/>
        <v>16.2</v>
      </c>
    </row>
    <row r="20" spans="1:14" x14ac:dyDescent="0.3">
      <c r="A20">
        <v>2</v>
      </c>
      <c r="B20" s="12">
        <v>186.1</v>
      </c>
      <c r="C20">
        <v>-2.4</v>
      </c>
      <c r="D20">
        <v>-0.6</v>
      </c>
      <c r="E20">
        <f t="shared" si="0"/>
        <v>1.7999999999999998</v>
      </c>
      <c r="G20">
        <v>9</v>
      </c>
      <c r="H20" s="12">
        <v>583</v>
      </c>
      <c r="I20">
        <v>-2.4</v>
      </c>
      <c r="J20">
        <v>7.5</v>
      </c>
      <c r="K20">
        <f t="shared" si="1"/>
        <v>9.9</v>
      </c>
    </row>
    <row r="21" spans="1:14" x14ac:dyDescent="0.3">
      <c r="A21">
        <v>1</v>
      </c>
      <c r="B21" s="12">
        <v>109.81</v>
      </c>
      <c r="C21">
        <v>-2.4</v>
      </c>
      <c r="D21">
        <v>-0.2</v>
      </c>
      <c r="E21">
        <f t="shared" si="0"/>
        <v>2.1999999999999997</v>
      </c>
      <c r="G21">
        <v>10</v>
      </c>
      <c r="H21" s="12">
        <v>938.6</v>
      </c>
      <c r="I21">
        <v>-2.4</v>
      </c>
      <c r="J21">
        <v>15.6</v>
      </c>
      <c r="K21">
        <f t="shared" si="1"/>
        <v>18</v>
      </c>
    </row>
    <row r="22" spans="1:14" x14ac:dyDescent="0.3">
      <c r="A22">
        <v>0</v>
      </c>
      <c r="B22" s="12">
        <v>1.28</v>
      </c>
      <c r="C22">
        <v>-2.4</v>
      </c>
      <c r="D22">
        <v>0.2</v>
      </c>
      <c r="E22">
        <f t="shared" si="0"/>
        <v>2.6</v>
      </c>
      <c r="G22">
        <v>11</v>
      </c>
      <c r="H22" s="12">
        <v>1722.6</v>
      </c>
      <c r="I22">
        <v>-2.5</v>
      </c>
      <c r="J22">
        <v>13</v>
      </c>
      <c r="K22">
        <f t="shared" si="1"/>
        <v>15.5</v>
      </c>
    </row>
    <row r="24" spans="1:14" x14ac:dyDescent="0.3">
      <c r="A24" s="1" t="s">
        <v>16</v>
      </c>
      <c r="B24" s="1"/>
      <c r="C24" s="1"/>
      <c r="D24" s="1" t="s">
        <v>22</v>
      </c>
      <c r="E24" s="1"/>
      <c r="F24" s="1"/>
      <c r="G24" s="1" t="s">
        <v>15</v>
      </c>
      <c r="H24" s="1"/>
      <c r="I24" s="1"/>
      <c r="J24" s="1" t="s">
        <v>23</v>
      </c>
      <c r="K24" s="1"/>
      <c r="L24" s="1"/>
    </row>
    <row r="25" spans="1:14" x14ac:dyDescent="0.3">
      <c r="A25" s="1" t="s">
        <v>17</v>
      </c>
      <c r="B25" s="1"/>
      <c r="G25" s="1" t="s">
        <v>18</v>
      </c>
      <c r="H25" s="1"/>
    </row>
    <row r="26" spans="1:14" x14ac:dyDescent="0.3">
      <c r="A26" t="s">
        <v>20</v>
      </c>
      <c r="B26" t="s">
        <v>13</v>
      </c>
      <c r="C26" t="s">
        <v>10</v>
      </c>
      <c r="D26" t="s">
        <v>11</v>
      </c>
      <c r="E26" t="s">
        <v>41</v>
      </c>
      <c r="G26" t="s">
        <v>20</v>
      </c>
      <c r="H26" t="s">
        <v>13</v>
      </c>
      <c r="I26" t="s">
        <v>10</v>
      </c>
      <c r="J26" t="s">
        <v>11</v>
      </c>
      <c r="K26" t="s">
        <v>41</v>
      </c>
    </row>
    <row r="27" spans="1:14" x14ac:dyDescent="0.3">
      <c r="A27">
        <v>11</v>
      </c>
      <c r="B27" s="12">
        <v>1726</v>
      </c>
      <c r="C27" s="2"/>
      <c r="D27" s="2"/>
      <c r="E27" s="2"/>
      <c r="G27">
        <v>0</v>
      </c>
      <c r="H27" s="12">
        <v>0</v>
      </c>
      <c r="I27" s="2"/>
      <c r="J27" s="2"/>
      <c r="K27" s="2"/>
    </row>
    <row r="28" spans="1:14" x14ac:dyDescent="0.3">
      <c r="A28">
        <v>10</v>
      </c>
      <c r="B28" s="12">
        <v>940</v>
      </c>
      <c r="C28">
        <v>7.8</v>
      </c>
      <c r="D28">
        <v>-5.8</v>
      </c>
      <c r="E28">
        <f>D28-C28</f>
        <v>-13.6</v>
      </c>
      <c r="G28">
        <v>1</v>
      </c>
      <c r="H28" s="12">
        <v>109.75</v>
      </c>
      <c r="I28">
        <v>7.8</v>
      </c>
      <c r="J28">
        <v>1.9</v>
      </c>
      <c r="K28">
        <f>J28-I28</f>
        <v>-5.9</v>
      </c>
    </row>
    <row r="29" spans="1:14" x14ac:dyDescent="0.3">
      <c r="A29">
        <v>9</v>
      </c>
      <c r="B29" s="12">
        <v>584.20000000000005</v>
      </c>
      <c r="C29">
        <v>7.8</v>
      </c>
      <c r="D29">
        <v>-2.5</v>
      </c>
      <c r="E29">
        <f t="shared" ref="E29:E38" si="2">D29-C29</f>
        <v>-10.3</v>
      </c>
      <c r="G29">
        <v>2</v>
      </c>
      <c r="H29" s="12">
        <v>185.97</v>
      </c>
      <c r="I29">
        <v>7.8</v>
      </c>
      <c r="J29">
        <v>-3.1</v>
      </c>
      <c r="K29">
        <f t="shared" ref="K29:K38" si="3">J29-I29</f>
        <v>-10.9</v>
      </c>
    </row>
    <row r="30" spans="1:14" x14ac:dyDescent="0.3">
      <c r="A30">
        <v>8</v>
      </c>
      <c r="B30" s="12">
        <v>487.1</v>
      </c>
      <c r="C30">
        <v>7.8</v>
      </c>
      <c r="D30">
        <v>4.4000000000000004</v>
      </c>
      <c r="E30">
        <f t="shared" si="2"/>
        <v>-3.3999999999999995</v>
      </c>
      <c r="G30">
        <v>3</v>
      </c>
      <c r="H30" s="12">
        <v>245.12</v>
      </c>
      <c r="I30">
        <v>7.8</v>
      </c>
      <c r="J30">
        <v>-7.5</v>
      </c>
      <c r="K30">
        <f t="shared" si="3"/>
        <v>-15.3</v>
      </c>
    </row>
    <row r="31" spans="1:14" x14ac:dyDescent="0.3">
      <c r="A31">
        <v>7</v>
      </c>
      <c r="B31" s="12">
        <v>397.55</v>
      </c>
      <c r="C31">
        <v>7.8</v>
      </c>
      <c r="D31">
        <v>4.5999999999999996</v>
      </c>
      <c r="E31">
        <f t="shared" si="2"/>
        <v>-3.2</v>
      </c>
      <c r="G31">
        <v>4</v>
      </c>
      <c r="H31" s="12">
        <v>283.17</v>
      </c>
      <c r="I31">
        <v>7.8</v>
      </c>
      <c r="J31">
        <v>-5.8</v>
      </c>
      <c r="K31">
        <f t="shared" si="3"/>
        <v>-13.6</v>
      </c>
    </row>
    <row r="32" spans="1:14" x14ac:dyDescent="0.3">
      <c r="A32">
        <v>6</v>
      </c>
      <c r="B32" s="12">
        <v>354.72</v>
      </c>
      <c r="C32">
        <v>7.8</v>
      </c>
      <c r="D32">
        <v>6.3</v>
      </c>
      <c r="E32">
        <f t="shared" si="2"/>
        <v>-1.5</v>
      </c>
      <c r="G32">
        <v>5</v>
      </c>
      <c r="H32" s="12">
        <v>323.74</v>
      </c>
      <c r="I32">
        <v>7.8</v>
      </c>
      <c r="J32">
        <v>-7.5</v>
      </c>
      <c r="K32">
        <f t="shared" si="3"/>
        <v>-15.3</v>
      </c>
    </row>
    <row r="33" spans="1:14" x14ac:dyDescent="0.3">
      <c r="A33">
        <v>5</v>
      </c>
      <c r="B33" s="12">
        <v>323.99</v>
      </c>
      <c r="C33">
        <v>7.8</v>
      </c>
      <c r="D33">
        <v>6.7</v>
      </c>
      <c r="E33">
        <f t="shared" si="2"/>
        <v>-1.0999999999999996</v>
      </c>
      <c r="G33">
        <v>6</v>
      </c>
      <c r="H33" s="12">
        <v>354.33</v>
      </c>
      <c r="I33">
        <v>7.8</v>
      </c>
      <c r="J33">
        <v>-2.1</v>
      </c>
      <c r="K33">
        <f t="shared" si="3"/>
        <v>-9.9</v>
      </c>
    </row>
    <row r="34" spans="1:14" x14ac:dyDescent="0.3">
      <c r="A34">
        <v>4</v>
      </c>
      <c r="B34" s="12">
        <v>283.24</v>
      </c>
      <c r="C34">
        <v>7.8</v>
      </c>
      <c r="D34">
        <v>6.4</v>
      </c>
      <c r="E34">
        <f t="shared" si="2"/>
        <v>-1.3999999999999995</v>
      </c>
      <c r="G34">
        <v>7</v>
      </c>
      <c r="H34" s="12">
        <v>397.16</v>
      </c>
      <c r="I34">
        <v>7.8</v>
      </c>
      <c r="J34">
        <v>-3.4</v>
      </c>
      <c r="K34">
        <f t="shared" si="3"/>
        <v>-11.2</v>
      </c>
    </row>
    <row r="35" spans="1:14" x14ac:dyDescent="0.3">
      <c r="A35">
        <v>3</v>
      </c>
      <c r="B35" s="12">
        <v>245.45</v>
      </c>
      <c r="C35">
        <v>7.8</v>
      </c>
      <c r="D35">
        <v>6.6</v>
      </c>
      <c r="E35">
        <f t="shared" si="2"/>
        <v>-1.2000000000000002</v>
      </c>
      <c r="G35">
        <v>8</v>
      </c>
      <c r="H35" s="12">
        <v>485.1</v>
      </c>
      <c r="I35">
        <v>7.8</v>
      </c>
      <c r="J35">
        <v>-7</v>
      </c>
      <c r="K35">
        <f t="shared" si="3"/>
        <v>-14.8</v>
      </c>
    </row>
    <row r="36" spans="1:14" x14ac:dyDescent="0.3">
      <c r="A36">
        <v>2</v>
      </c>
      <c r="B36" s="12">
        <v>186.12</v>
      </c>
      <c r="C36">
        <v>7.8</v>
      </c>
      <c r="D36">
        <v>6</v>
      </c>
      <c r="E36">
        <f t="shared" si="2"/>
        <v>-1.7999999999999998</v>
      </c>
      <c r="G36">
        <v>9</v>
      </c>
      <c r="H36" s="12">
        <v>583.29999999999995</v>
      </c>
      <c r="I36">
        <v>7.8</v>
      </c>
      <c r="J36">
        <v>-1.5</v>
      </c>
      <c r="K36">
        <f t="shared" si="3"/>
        <v>-9.3000000000000007</v>
      </c>
    </row>
    <row r="37" spans="1:14" x14ac:dyDescent="0.3">
      <c r="A37">
        <v>1</v>
      </c>
      <c r="B37" s="12">
        <v>109.81</v>
      </c>
      <c r="C37">
        <v>7.8</v>
      </c>
      <c r="D37">
        <v>5.5</v>
      </c>
      <c r="E37">
        <f t="shared" si="2"/>
        <v>-2.2999999999999998</v>
      </c>
      <c r="G37">
        <v>10</v>
      </c>
      <c r="H37" s="12">
        <v>938.4</v>
      </c>
      <c r="I37">
        <v>7.8</v>
      </c>
      <c r="J37">
        <v>-8.6</v>
      </c>
      <c r="K37">
        <f t="shared" si="3"/>
        <v>-16.399999999999999</v>
      </c>
    </row>
    <row r="38" spans="1:14" x14ac:dyDescent="0.3">
      <c r="A38">
        <v>0</v>
      </c>
      <c r="B38" s="12">
        <v>1.41</v>
      </c>
      <c r="C38">
        <v>7.8</v>
      </c>
      <c r="D38">
        <v>5.2</v>
      </c>
      <c r="E38">
        <f t="shared" si="2"/>
        <v>-2.5999999999999996</v>
      </c>
      <c r="G38">
        <v>11</v>
      </c>
      <c r="H38" s="12">
        <v>1723.4</v>
      </c>
      <c r="I38">
        <v>7.8</v>
      </c>
      <c r="J38">
        <v>-6.6</v>
      </c>
      <c r="K38">
        <f t="shared" si="3"/>
        <v>-14.399999999999999</v>
      </c>
    </row>
    <row r="41" spans="1:14" x14ac:dyDescent="0.3">
      <c r="C41" s="6" t="s">
        <v>25</v>
      </c>
      <c r="D41" s="7"/>
      <c r="E41" s="7"/>
      <c r="F41" s="7" t="s">
        <v>26</v>
      </c>
      <c r="G41" s="7">
        <v>30</v>
      </c>
      <c r="H41" s="7" t="s">
        <v>5</v>
      </c>
      <c r="I41" s="7" t="s">
        <v>33</v>
      </c>
      <c r="J41" s="7">
        <v>1275.7</v>
      </c>
      <c r="K41" s="7" t="s">
        <v>13</v>
      </c>
      <c r="L41" s="7"/>
      <c r="M41" s="7"/>
      <c r="N41" s="8"/>
    </row>
    <row r="42" spans="1:14" x14ac:dyDescent="0.3">
      <c r="A42" t="s">
        <v>24</v>
      </c>
      <c r="C42" s="9"/>
      <c r="D42" s="10"/>
      <c r="E42" s="10"/>
      <c r="F42" s="10" t="s">
        <v>27</v>
      </c>
      <c r="G42" s="10">
        <v>46</v>
      </c>
      <c r="H42" s="10" t="s">
        <v>5</v>
      </c>
      <c r="I42" s="10" t="s">
        <v>28</v>
      </c>
      <c r="J42" s="10">
        <v>3.4</v>
      </c>
      <c r="K42" s="10" t="s">
        <v>29</v>
      </c>
      <c r="L42" s="10" t="s">
        <v>30</v>
      </c>
      <c r="M42" s="10"/>
      <c r="N42" s="11"/>
    </row>
    <row r="43" spans="1:14" x14ac:dyDescent="0.3">
      <c r="A43" t="s">
        <v>20</v>
      </c>
      <c r="B43" t="s">
        <v>13</v>
      </c>
      <c r="C43" t="s">
        <v>10</v>
      </c>
      <c r="D43" t="s">
        <v>11</v>
      </c>
      <c r="E43" t="s">
        <v>12</v>
      </c>
    </row>
    <row r="44" spans="1:14" x14ac:dyDescent="0.3">
      <c r="A44">
        <v>0</v>
      </c>
      <c r="B44">
        <v>0</v>
      </c>
      <c r="C44" s="2"/>
      <c r="D44" s="2"/>
      <c r="E44" s="2"/>
    </row>
    <row r="45" spans="1:14" x14ac:dyDescent="0.3">
      <c r="A45">
        <v>1</v>
      </c>
      <c r="B45">
        <v>109.6</v>
      </c>
      <c r="C45">
        <v>1.1000000000000001</v>
      </c>
      <c r="D45">
        <v>-0.6</v>
      </c>
      <c r="E45">
        <f>D45-C45</f>
        <v>-1.7000000000000002</v>
      </c>
    </row>
    <row r="46" spans="1:14" x14ac:dyDescent="0.3">
      <c r="A46">
        <v>2</v>
      </c>
      <c r="B46">
        <v>185.67</v>
      </c>
      <c r="C46">
        <v>1.1000000000000001</v>
      </c>
      <c r="D46">
        <v>-0.5</v>
      </c>
      <c r="E46">
        <f t="shared" ref="E46:E55" si="4">D46-C46</f>
        <v>-1.6</v>
      </c>
    </row>
    <row r="47" spans="1:14" x14ac:dyDescent="0.3">
      <c r="A47">
        <v>3</v>
      </c>
      <c r="B47">
        <v>247.4</v>
      </c>
      <c r="C47">
        <v>1.1000000000000001</v>
      </c>
      <c r="D47">
        <v>-1.1000000000000001</v>
      </c>
      <c r="E47">
        <f t="shared" si="4"/>
        <v>-2.2000000000000002</v>
      </c>
    </row>
    <row r="48" spans="1:14" x14ac:dyDescent="0.3">
      <c r="A48">
        <v>4</v>
      </c>
      <c r="B48">
        <v>281.98</v>
      </c>
      <c r="C48">
        <v>1.1000000000000001</v>
      </c>
      <c r="D48">
        <v>-0.7</v>
      </c>
      <c r="E48">
        <f t="shared" si="4"/>
        <v>-1.8</v>
      </c>
    </row>
    <row r="49" spans="1:5" x14ac:dyDescent="0.3">
      <c r="A49">
        <v>5</v>
      </c>
      <c r="B49">
        <v>323.24</v>
      </c>
      <c r="C49">
        <v>1.1000000000000001</v>
      </c>
      <c r="D49">
        <v>-0.8</v>
      </c>
      <c r="E49">
        <f t="shared" si="4"/>
        <v>-1.9000000000000001</v>
      </c>
    </row>
    <row r="50" spans="1:5" x14ac:dyDescent="0.3">
      <c r="A50">
        <v>6</v>
      </c>
      <c r="B50">
        <v>353.82</v>
      </c>
      <c r="C50">
        <v>1.1000000000000001</v>
      </c>
      <c r="D50">
        <v>-0.1</v>
      </c>
      <c r="E50">
        <f t="shared" si="4"/>
        <v>-1.2000000000000002</v>
      </c>
    </row>
    <row r="51" spans="1:5" x14ac:dyDescent="0.3">
      <c r="A51">
        <v>7</v>
      </c>
      <c r="B51">
        <v>306.52</v>
      </c>
      <c r="C51">
        <v>1.1000000000000001</v>
      </c>
      <c r="D51">
        <v>-0.3</v>
      </c>
      <c r="E51">
        <f t="shared" si="4"/>
        <v>-1.4000000000000001</v>
      </c>
    </row>
    <row r="52" spans="1:5" x14ac:dyDescent="0.3">
      <c r="A52">
        <v>8</v>
      </c>
      <c r="B52">
        <v>484.58</v>
      </c>
      <c r="C52">
        <v>1.1000000000000001</v>
      </c>
      <c r="D52">
        <v>-1.5</v>
      </c>
      <c r="E52">
        <f t="shared" si="4"/>
        <v>-2.6</v>
      </c>
    </row>
    <row r="53" spans="1:5" x14ac:dyDescent="0.3">
      <c r="A53">
        <v>9</v>
      </c>
      <c r="B53">
        <v>582.6</v>
      </c>
      <c r="C53">
        <v>1.2</v>
      </c>
      <c r="D53">
        <v>-1</v>
      </c>
      <c r="E53">
        <f t="shared" si="4"/>
        <v>-2.2000000000000002</v>
      </c>
    </row>
    <row r="54" spans="1:5" x14ac:dyDescent="0.3">
      <c r="A54">
        <v>10</v>
      </c>
      <c r="B54">
        <v>937.3</v>
      </c>
      <c r="C54">
        <v>1.2</v>
      </c>
      <c r="D54">
        <v>-3.4</v>
      </c>
      <c r="E54">
        <f t="shared" si="4"/>
        <v>-4.5999999999999996</v>
      </c>
    </row>
    <row r="55" spans="1:5" x14ac:dyDescent="0.3">
      <c r="A55">
        <v>11</v>
      </c>
      <c r="B55">
        <v>1721.4</v>
      </c>
      <c r="C55">
        <v>1.2</v>
      </c>
      <c r="D55">
        <v>-2.8</v>
      </c>
      <c r="E55">
        <f t="shared" si="4"/>
        <v>-4</v>
      </c>
    </row>
  </sheetData>
  <mergeCells count="11">
    <mergeCell ref="A24:C24"/>
    <mergeCell ref="D24:F24"/>
    <mergeCell ref="J24:L24"/>
    <mergeCell ref="A9:B9"/>
    <mergeCell ref="G9:H9"/>
    <mergeCell ref="A25:B25"/>
    <mergeCell ref="G25:H25"/>
    <mergeCell ref="G24:I24"/>
    <mergeCell ref="G8:I8"/>
    <mergeCell ref="A8:C8"/>
    <mergeCell ref="E1:J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</dc:creator>
  <cp:lastModifiedBy>Masha</cp:lastModifiedBy>
  <dcterms:created xsi:type="dcterms:W3CDTF">2026-09-17T20:10:43Z</dcterms:created>
  <dcterms:modified xsi:type="dcterms:W3CDTF">2026-09-18T00:14:58Z</dcterms:modified>
</cp:coreProperties>
</file>